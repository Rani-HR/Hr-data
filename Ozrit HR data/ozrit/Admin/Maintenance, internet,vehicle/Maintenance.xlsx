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Admin\Maintenance, internet,vehicle\"/>
    </mc:Choice>
  </mc:AlternateContent>
  <xr:revisionPtr revIDLastSave="0" documentId="13_ncr:1_{7D3EAA44-F48D-478C-B471-C28211DCDF0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Paid 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G11" i="3" l="1"/>
  <c r="H11" i="3"/>
  <c r="C9" i="3"/>
  <c r="C11" i="2"/>
  <c r="B10" i="2"/>
  <c r="L26" i="1"/>
  <c r="D11" i="1"/>
</calcChain>
</file>

<file path=xl/sharedStrings.xml><?xml version="1.0" encoding="utf-8"?>
<sst xmlns="http://schemas.openxmlformats.org/spreadsheetml/2006/main" count="186" uniqueCount="119">
  <si>
    <t xml:space="preserve">maintenance </t>
  </si>
  <si>
    <t xml:space="preserve">Number </t>
  </si>
  <si>
    <t xml:space="preserve">Month </t>
  </si>
  <si>
    <t>Invoice  number</t>
  </si>
  <si>
    <t xml:space="preserve">Amount </t>
  </si>
  <si>
    <t xml:space="preserve">Paid /not paid </t>
  </si>
  <si>
    <t xml:space="preserve">Date of payment </t>
  </si>
  <si>
    <t xml:space="preserve">Paid by </t>
  </si>
  <si>
    <t xml:space="preserve">invoice number </t>
  </si>
  <si>
    <t xml:space="preserve">amount </t>
  </si>
  <si>
    <t xml:space="preserve">Status </t>
  </si>
  <si>
    <t xml:space="preserve">january </t>
  </si>
  <si>
    <t>M/U/012025/011</t>
  </si>
  <si>
    <t xml:space="preserve">Paid </t>
  </si>
  <si>
    <t>6.3.2024</t>
  </si>
  <si>
    <t xml:space="preserve">Bharath sir </t>
  </si>
  <si>
    <t>SVC144816</t>
  </si>
  <si>
    <t xml:space="preserve">Paid by mahesh </t>
  </si>
  <si>
    <t>February</t>
  </si>
  <si>
    <t>M/U/022025/011</t>
  </si>
  <si>
    <t xml:space="preserve">February </t>
  </si>
  <si>
    <t>SVC145220</t>
  </si>
  <si>
    <t>March</t>
  </si>
  <si>
    <t>M/U/032025/011</t>
  </si>
  <si>
    <t xml:space="preserve">march </t>
  </si>
  <si>
    <t>SVC145729</t>
  </si>
  <si>
    <t>April</t>
  </si>
  <si>
    <t>M/U/042025/011</t>
  </si>
  <si>
    <t>: SVC146296</t>
  </si>
  <si>
    <t xml:space="preserve">paid by mahesh </t>
  </si>
  <si>
    <t xml:space="preserve">May </t>
  </si>
  <si>
    <t xml:space="preserve">M/U/052025/011
</t>
  </si>
  <si>
    <t>May</t>
  </si>
  <si>
    <t>SVC146296</t>
  </si>
  <si>
    <t xml:space="preserve">5th may </t>
  </si>
  <si>
    <t>June</t>
  </si>
  <si>
    <t>SVC147331</t>
  </si>
  <si>
    <t>Pradeep</t>
  </si>
  <si>
    <t xml:space="preserve">March </t>
  </si>
  <si>
    <t>TWC/032025/006</t>
  </si>
  <si>
    <t xml:space="preserve">not paid </t>
  </si>
  <si>
    <t>Manikanta</t>
  </si>
  <si>
    <t xml:space="preserve">april </t>
  </si>
  <si>
    <t>TWC/042025/006</t>
  </si>
  <si>
    <t>ravindhra</t>
  </si>
  <si>
    <t>TWC/052025/007</t>
  </si>
  <si>
    <t xml:space="preserve">June </t>
  </si>
  <si>
    <t>July</t>
  </si>
  <si>
    <t xml:space="preserve">August </t>
  </si>
  <si>
    <t>M/U/082025/011</t>
  </si>
  <si>
    <t>M/U/072025/011</t>
  </si>
  <si>
    <t>September</t>
  </si>
  <si>
    <t>Paid</t>
  </si>
  <si>
    <t>SVC148308</t>
  </si>
  <si>
    <t>Total</t>
  </si>
  <si>
    <t>TWC/082025/006</t>
  </si>
  <si>
    <t>TWC/062025/006</t>
  </si>
  <si>
    <t>027</t>
  </si>
  <si>
    <t>028</t>
  </si>
  <si>
    <t>030</t>
  </si>
  <si>
    <t>038</t>
  </si>
  <si>
    <t>039</t>
  </si>
  <si>
    <t>029</t>
  </si>
  <si>
    <t>B3</t>
  </si>
  <si>
    <t>118</t>
  </si>
  <si>
    <t>120</t>
  </si>
  <si>
    <t>126</t>
  </si>
  <si>
    <t>Mohan</t>
  </si>
  <si>
    <t>Kiran</t>
  </si>
  <si>
    <t>Raghu</t>
  </si>
  <si>
    <t>Chetan</t>
  </si>
  <si>
    <t>119</t>
  </si>
  <si>
    <t>Manish                                     </t>
  </si>
  <si>
    <t>Sayeed Anzer                      </t>
  </si>
  <si>
    <t>Chary                                     </t>
  </si>
  <si>
    <t>40</t>
  </si>
  <si>
    <t>75</t>
  </si>
  <si>
    <t>76</t>
  </si>
  <si>
    <t>77</t>
  </si>
  <si>
    <t>78</t>
  </si>
  <si>
    <t>Yuva kiran</t>
  </si>
  <si>
    <t>TWS/092025/006</t>
  </si>
  <si>
    <t xml:space="preserve">Months </t>
  </si>
  <si>
    <t>Maintenance</t>
  </si>
  <si>
    <t xml:space="preserve">bike parking </t>
  </si>
  <si>
    <t>feb</t>
  </si>
  <si>
    <t>mar</t>
  </si>
  <si>
    <t>apr</t>
  </si>
  <si>
    <t>may</t>
  </si>
  <si>
    <t>jun</t>
  </si>
  <si>
    <t>jul</t>
  </si>
  <si>
    <t>aug</t>
  </si>
  <si>
    <t xml:space="preserve">payments date </t>
  </si>
  <si>
    <t xml:space="preserve">Jan </t>
  </si>
  <si>
    <t xml:space="preserve">Slno </t>
  </si>
  <si>
    <t xml:space="preserve">bharath sir </t>
  </si>
  <si>
    <t>27.03.2025</t>
  </si>
  <si>
    <t>6.03.2035</t>
  </si>
  <si>
    <t>3.04.2025</t>
  </si>
  <si>
    <t>2,76,950</t>
  </si>
  <si>
    <t>Paid by</t>
  </si>
  <si>
    <t>29.06.2025</t>
  </si>
  <si>
    <t>24.08.2025</t>
  </si>
  <si>
    <t>04.09.2025</t>
  </si>
  <si>
    <t>29.09.2025</t>
  </si>
  <si>
    <t>3,47,836</t>
  </si>
  <si>
    <t xml:space="preserve">sep </t>
  </si>
  <si>
    <t xml:space="preserve">We paid </t>
  </si>
  <si>
    <t>Grand total</t>
  </si>
  <si>
    <t>Paid till now </t>
  </si>
  <si>
    <t>Balance</t>
  </si>
  <si>
    <t xml:space="preserve">till August </t>
  </si>
  <si>
    <t xml:space="preserve">till September </t>
  </si>
  <si>
    <t>Total maintenancebill</t>
  </si>
  <si>
    <t>Total bikes slot</t>
  </si>
  <si>
    <t>left</t>
  </si>
  <si>
    <t xml:space="preserve">nani prasad </t>
  </si>
  <si>
    <t>gopi</t>
  </si>
  <si>
    <t>Hruthik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</si>
</sst>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2C363A"/>
      <name val="Verdana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Verdana"/>
      <family val="2"/>
    </font>
    <font>
      <sz val="12"/>
      <color rgb="FF2C363A"/>
      <name val="Verdana"/>
      <family val="2"/>
    </font>
    <font>
      <sz val="8"/>
      <name val="Arial"/>
      <family val="2"/>
      <scheme val="minor"/>
    </font>
    <font>
      <sz val="7"/>
      <color rgb="FF2C363A"/>
      <name val="Verdana"/>
      <family val="2"/>
    </font>
    <font>
      <sz val="12"/>
      <color rgb="FF2C363A"/>
      <name val="Arial"/>
      <family val="2"/>
    </font>
    <font>
      <sz val="10"/>
      <color rgb="FF006A9D"/>
      <name val="Verdana"/>
      <family val="2"/>
    </font>
    <font>
      <sz val="10"/>
      <color rgb="FF2C363A"/>
      <name val="Arial"/>
      <family val="2"/>
      <scheme val="minor"/>
    </font>
    <font>
      <sz val="10"/>
      <color theme="1" tint="0.34998626667073579"/>
      <name val="Arial"/>
      <family val="2"/>
      <scheme val="major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medium">
        <color rgb="FFCCCCCC"/>
      </bottom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thin">
        <color rgb="FF000000"/>
      </bottom>
      <diagonal/>
    </border>
    <border>
      <left style="medium">
        <color rgb="FFCCCCCC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2" fillId="2" borderId="0" xfId="0" applyFont="1" applyFill="1" applyAlignment="1">
      <alignment horizontal="left"/>
    </xf>
    <xf numFmtId="0" fontId="6" fillId="0" borderId="1" xfId="0" applyFont="1" applyBorder="1"/>
    <xf numFmtId="0" fontId="1" fillId="0" borderId="3" xfId="0" applyFont="1" applyBorder="1"/>
    <xf numFmtId="0" fontId="1" fillId="0" borderId="2" xfId="0" applyFont="1" applyBorder="1" applyAlignment="1"/>
    <xf numFmtId="0" fontId="1" fillId="0" borderId="2" xfId="0" applyFont="1" applyBorder="1"/>
    <xf numFmtId="0" fontId="0" fillId="0" borderId="2" xfId="0" applyFont="1" applyBorder="1" applyAlignment="1"/>
    <xf numFmtId="0" fontId="4" fillId="0" borderId="2" xfId="0" applyFont="1" applyBorder="1"/>
    <xf numFmtId="0" fontId="5" fillId="0" borderId="2" xfId="0" applyFont="1" applyBorder="1"/>
    <xf numFmtId="0" fontId="7" fillId="0" borderId="0" xfId="0" applyFont="1" applyAlignment="1"/>
    <xf numFmtId="0" fontId="6" fillId="0" borderId="1" xfId="0" applyFont="1" applyBorder="1" applyAlignment="1"/>
    <xf numFmtId="0" fontId="8" fillId="0" borderId="0" xfId="0" applyFont="1" applyAlignment="1"/>
    <xf numFmtId="0" fontId="9" fillId="0" borderId="0" xfId="0" applyFont="1" applyAlignment="1"/>
    <xf numFmtId="49" fontId="0" fillId="0" borderId="0" xfId="0" applyNumberFormat="1" applyFont="1" applyAlignment="1"/>
    <xf numFmtId="0" fontId="12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0" fillId="3" borderId="4" xfId="0" applyFont="1" applyFill="1" applyBorder="1" applyAlignment="1"/>
    <xf numFmtId="0" fontId="13" fillId="3" borderId="5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vertical="center" wrapText="1"/>
    </xf>
    <xf numFmtId="0" fontId="14" fillId="3" borderId="9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horizontal="left"/>
    </xf>
    <xf numFmtId="0" fontId="15" fillId="0" borderId="2" xfId="0" applyFont="1" applyBorder="1" applyAlignment="1">
      <alignment horizontal="left"/>
    </xf>
    <xf numFmtId="49" fontId="15" fillId="0" borderId="2" xfId="0" applyNumberFormat="1" applyFont="1" applyBorder="1" applyAlignment="1">
      <alignment horizontal="left"/>
    </xf>
    <xf numFmtId="0" fontId="15" fillId="3" borderId="2" xfId="0" applyFont="1" applyFill="1" applyBorder="1" applyAlignment="1">
      <alignment horizontal="left" vertical="center" wrapText="1"/>
    </xf>
    <xf numFmtId="3" fontId="3" fillId="0" borderId="1" xfId="0" applyNumberFormat="1" applyFont="1" applyBorder="1"/>
    <xf numFmtId="0" fontId="17" fillId="0" borderId="0" xfId="0" applyFont="1" applyAlignment="1"/>
    <xf numFmtId="3" fontId="6" fillId="0" borderId="1" xfId="0" applyNumberFormat="1" applyFont="1" applyBorder="1"/>
    <xf numFmtId="0" fontId="17" fillId="0" borderId="2" xfId="0" applyFont="1" applyBorder="1" applyAlignment="1"/>
    <xf numFmtId="0" fontId="7" fillId="0" borderId="2" xfId="0" applyFont="1" applyBorder="1" applyAlignment="1"/>
    <xf numFmtId="0" fontId="17" fillId="0" borderId="2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12" fontId="0" fillId="0" borderId="2" xfId="0" applyNumberFormat="1" applyFont="1" applyBorder="1" applyAlignment="1">
      <alignment horizontal="center"/>
    </xf>
    <xf numFmtId="12" fontId="18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17" fillId="0" borderId="2" xfId="0" applyNumberFormat="1" applyFont="1" applyBorder="1" applyAlignment="1"/>
    <xf numFmtId="0" fontId="0" fillId="0" borderId="10" xfId="0" applyFont="1" applyBorder="1" applyAlignment="1"/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3" fontId="17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3"/>
  <sheetViews>
    <sheetView topLeftCell="A22" workbookViewId="0">
      <selection activeCell="A23" sqref="A23"/>
    </sheetView>
  </sheetViews>
  <sheetFormatPr defaultColWidth="12.6328125" defaultRowHeight="15.75" customHeight="1" x14ac:dyDescent="0.25"/>
  <cols>
    <col min="3" max="3" width="17.6328125" customWidth="1"/>
    <col min="6" max="6" width="17.7265625" customWidth="1"/>
    <col min="11" max="11" width="15.7265625" customWidth="1"/>
    <col min="13" max="13" width="15.36328125" customWidth="1"/>
  </cols>
  <sheetData>
    <row r="1" spans="1:14" ht="12.5" x14ac:dyDescent="0.25">
      <c r="A1" s="1"/>
      <c r="B1" s="1" t="s">
        <v>0</v>
      </c>
      <c r="C1" s="1"/>
      <c r="D1" s="1"/>
    </row>
    <row r="2" spans="1:14" ht="12.5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I2" s="2" t="s">
        <v>1</v>
      </c>
      <c r="J2" s="2" t="s">
        <v>2</v>
      </c>
      <c r="K2" s="2" t="s">
        <v>8</v>
      </c>
      <c r="L2" s="2" t="s">
        <v>9</v>
      </c>
      <c r="M2" s="2" t="s">
        <v>10</v>
      </c>
    </row>
    <row r="3" spans="1:14" ht="12.5" x14ac:dyDescent="0.25">
      <c r="A3" s="7">
        <v>1</v>
      </c>
      <c r="B3" s="7" t="s">
        <v>11</v>
      </c>
      <c r="C3" s="7" t="s">
        <v>12</v>
      </c>
      <c r="D3" s="7">
        <v>29344</v>
      </c>
      <c r="E3" s="7" t="s">
        <v>13</v>
      </c>
      <c r="F3" s="7" t="s">
        <v>14</v>
      </c>
      <c r="G3" s="7" t="s">
        <v>15</v>
      </c>
      <c r="I3" s="2">
        <v>1</v>
      </c>
      <c r="J3" s="2" t="s">
        <v>11</v>
      </c>
      <c r="K3" s="1" t="s">
        <v>16</v>
      </c>
      <c r="L3" s="2">
        <v>2283</v>
      </c>
      <c r="M3" s="2" t="s">
        <v>17</v>
      </c>
    </row>
    <row r="4" spans="1:14" ht="12.5" x14ac:dyDescent="0.25">
      <c r="A4" s="7">
        <v>2</v>
      </c>
      <c r="B4" s="7" t="s">
        <v>18</v>
      </c>
      <c r="C4" s="7" t="s">
        <v>19</v>
      </c>
      <c r="D4" s="7">
        <v>33599</v>
      </c>
      <c r="E4" s="8"/>
      <c r="F4" s="8"/>
      <c r="G4" s="8"/>
      <c r="I4" s="2">
        <v>2</v>
      </c>
      <c r="J4" s="2" t="s">
        <v>20</v>
      </c>
      <c r="K4" s="1" t="s">
        <v>21</v>
      </c>
      <c r="L4" s="2">
        <v>5899</v>
      </c>
      <c r="M4" s="2" t="s">
        <v>17</v>
      </c>
    </row>
    <row r="5" spans="1:14" ht="12.5" x14ac:dyDescent="0.25">
      <c r="A5" s="7">
        <v>3</v>
      </c>
      <c r="B5" s="7" t="s">
        <v>22</v>
      </c>
      <c r="C5" s="7" t="s">
        <v>23</v>
      </c>
      <c r="D5" s="7">
        <v>37332</v>
      </c>
      <c r="E5" s="8"/>
      <c r="F5" s="8"/>
      <c r="G5" s="8"/>
      <c r="I5" s="2">
        <v>3</v>
      </c>
      <c r="J5" s="2" t="s">
        <v>24</v>
      </c>
      <c r="K5" s="1" t="s">
        <v>25</v>
      </c>
      <c r="L5" s="2">
        <v>5899</v>
      </c>
      <c r="M5" s="2" t="s">
        <v>17</v>
      </c>
    </row>
    <row r="6" spans="1:14" ht="12.5" x14ac:dyDescent="0.25">
      <c r="A6" s="7">
        <v>4</v>
      </c>
      <c r="B6" s="7" t="s">
        <v>26</v>
      </c>
      <c r="C6" s="7" t="s">
        <v>27</v>
      </c>
      <c r="D6" s="7">
        <v>45980</v>
      </c>
      <c r="E6" s="8"/>
      <c r="F6" s="8"/>
      <c r="G6" s="8"/>
      <c r="I6" s="2">
        <v>4</v>
      </c>
      <c r="J6" s="2" t="s">
        <v>26</v>
      </c>
      <c r="K6" s="1" t="s">
        <v>28</v>
      </c>
      <c r="L6" s="2">
        <v>5899</v>
      </c>
      <c r="M6" s="2" t="s">
        <v>29</v>
      </c>
    </row>
    <row r="7" spans="1:14" ht="17.25" customHeight="1" x14ac:dyDescent="0.25">
      <c r="A7" s="7">
        <v>5</v>
      </c>
      <c r="B7" s="7" t="s">
        <v>30</v>
      </c>
      <c r="C7" s="7" t="s">
        <v>31</v>
      </c>
      <c r="D7" s="7">
        <v>48923</v>
      </c>
      <c r="E7" s="8"/>
      <c r="F7" s="8"/>
      <c r="G7" s="8"/>
      <c r="I7" s="2">
        <v>5</v>
      </c>
      <c r="J7" s="2" t="s">
        <v>32</v>
      </c>
      <c r="K7" s="1" t="s">
        <v>33</v>
      </c>
      <c r="L7" s="2">
        <v>5899</v>
      </c>
      <c r="M7" s="2" t="s">
        <v>29</v>
      </c>
      <c r="N7" s="1" t="s">
        <v>34</v>
      </c>
    </row>
    <row r="8" spans="1:14" ht="12.5" x14ac:dyDescent="0.25">
      <c r="A8" s="8">
        <v>6</v>
      </c>
      <c r="B8" s="8" t="s">
        <v>46</v>
      </c>
      <c r="C8" s="9" t="s">
        <v>19</v>
      </c>
      <c r="D8" s="8">
        <v>33599</v>
      </c>
      <c r="E8" s="8"/>
      <c r="F8" s="8"/>
      <c r="G8" s="8"/>
      <c r="I8" s="2">
        <v>6</v>
      </c>
      <c r="J8" s="2" t="s">
        <v>35</v>
      </c>
      <c r="K8" s="1" t="s">
        <v>36</v>
      </c>
      <c r="L8" s="2">
        <v>5899</v>
      </c>
      <c r="M8" s="3"/>
    </row>
    <row r="9" spans="1:14" ht="12.5" x14ac:dyDescent="0.25">
      <c r="A9" s="8">
        <v>7</v>
      </c>
      <c r="B9" s="8" t="s">
        <v>47</v>
      </c>
      <c r="C9" s="9" t="s">
        <v>50</v>
      </c>
      <c r="D9" s="8">
        <v>46881</v>
      </c>
      <c r="E9" s="8"/>
      <c r="F9" s="8"/>
      <c r="G9" s="8"/>
      <c r="I9" s="3"/>
      <c r="J9" s="3" t="s">
        <v>47</v>
      </c>
      <c r="K9" s="3"/>
      <c r="L9" s="3"/>
      <c r="M9" s="3"/>
    </row>
    <row r="10" spans="1:14" ht="12.5" x14ac:dyDescent="0.25">
      <c r="A10" s="8">
        <v>8</v>
      </c>
      <c r="B10" s="8" t="s">
        <v>48</v>
      </c>
      <c r="C10" s="9" t="s">
        <v>49</v>
      </c>
      <c r="D10" s="8">
        <v>43678</v>
      </c>
      <c r="E10" s="8"/>
      <c r="F10" s="8"/>
      <c r="G10" s="8"/>
      <c r="I10" s="3"/>
      <c r="J10" s="3" t="s">
        <v>48</v>
      </c>
      <c r="K10" t="s">
        <v>53</v>
      </c>
      <c r="L10" s="3">
        <v>7079</v>
      </c>
      <c r="M10" s="3"/>
    </row>
    <row r="11" spans="1:14" ht="15.5" x14ac:dyDescent="0.35">
      <c r="A11" s="8"/>
      <c r="B11" s="8"/>
      <c r="C11" s="10" t="s">
        <v>54</v>
      </c>
      <c r="D11" s="11">
        <f>SUM(D3:D10)</f>
        <v>319336</v>
      </c>
      <c r="E11" s="8"/>
      <c r="F11" s="8"/>
      <c r="G11" s="8"/>
      <c r="I11" s="3"/>
      <c r="J11" s="3" t="s">
        <v>51</v>
      </c>
      <c r="K11" t="s">
        <v>19</v>
      </c>
      <c r="L11" s="3">
        <v>7079</v>
      </c>
      <c r="M11" s="3" t="s">
        <v>52</v>
      </c>
    </row>
    <row r="12" spans="1:14" ht="12.5" x14ac:dyDescent="0.25">
      <c r="A12" s="6"/>
      <c r="B12" s="6"/>
      <c r="C12" s="6"/>
      <c r="D12" s="6"/>
      <c r="E12" s="6"/>
      <c r="F12" s="6"/>
      <c r="G12" s="6"/>
      <c r="I12" s="3"/>
      <c r="J12" s="3"/>
      <c r="K12" s="3"/>
      <c r="L12" s="3"/>
      <c r="M12" s="3"/>
    </row>
    <row r="13" spans="1:14" ht="12.5" x14ac:dyDescent="0.25">
      <c r="A13" s="3"/>
      <c r="B13" s="3"/>
      <c r="C13" s="3"/>
      <c r="D13" s="3"/>
      <c r="E13" s="3"/>
      <c r="F13" s="3"/>
      <c r="G13" s="3"/>
      <c r="I13" s="3"/>
      <c r="J13" s="3"/>
      <c r="K13" s="3"/>
      <c r="L13" s="3"/>
      <c r="M13" s="3"/>
    </row>
    <row r="17" spans="1:13" ht="13.5" x14ac:dyDescent="0.25">
      <c r="B17" s="4"/>
      <c r="I17" s="2" t="s">
        <v>1</v>
      </c>
      <c r="J17" s="2" t="s">
        <v>2</v>
      </c>
      <c r="K17" s="2" t="s">
        <v>8</v>
      </c>
      <c r="L17" s="2" t="s">
        <v>9</v>
      </c>
      <c r="M17" s="2" t="s">
        <v>10</v>
      </c>
    </row>
    <row r="18" spans="1:13" ht="13.5" x14ac:dyDescent="0.25">
      <c r="B18" s="4"/>
      <c r="I18" s="2">
        <v>1</v>
      </c>
      <c r="J18" s="13" t="s">
        <v>18</v>
      </c>
      <c r="K18" s="13" t="s">
        <v>55</v>
      </c>
      <c r="L18" s="2">
        <v>1800</v>
      </c>
      <c r="M18" s="2"/>
    </row>
    <row r="19" spans="1:13" ht="12.5" x14ac:dyDescent="0.25">
      <c r="A19" s="25" t="s">
        <v>37</v>
      </c>
      <c r="B19" s="26" t="s">
        <v>63</v>
      </c>
      <c r="C19" s="27">
        <v>135</v>
      </c>
      <c r="I19" s="2">
        <v>2</v>
      </c>
      <c r="J19" s="2" t="s">
        <v>38</v>
      </c>
      <c r="K19" s="2" t="s">
        <v>39</v>
      </c>
      <c r="L19" s="2">
        <v>1800</v>
      </c>
      <c r="M19" s="2" t="s">
        <v>40</v>
      </c>
    </row>
    <row r="20" spans="1:13" ht="15" x14ac:dyDescent="0.3">
      <c r="A20" s="25" t="s">
        <v>41</v>
      </c>
      <c r="B20" s="26" t="s">
        <v>63</v>
      </c>
      <c r="C20" s="27">
        <v>136</v>
      </c>
      <c r="E20" s="14"/>
      <c r="I20" s="2">
        <v>3</v>
      </c>
      <c r="J20" s="2" t="s">
        <v>42</v>
      </c>
      <c r="K20" s="2" t="s">
        <v>43</v>
      </c>
      <c r="L20" s="2">
        <v>1800</v>
      </c>
      <c r="M20" s="2" t="s">
        <v>40</v>
      </c>
    </row>
    <row r="21" spans="1:13" ht="15" x14ac:dyDescent="0.3">
      <c r="A21" s="26" t="s">
        <v>44</v>
      </c>
      <c r="B21" s="26" t="s">
        <v>63</v>
      </c>
      <c r="C21" s="27">
        <v>137</v>
      </c>
      <c r="E21" s="15"/>
      <c r="F21" s="18"/>
      <c r="G21" s="18"/>
      <c r="I21" s="2">
        <v>4</v>
      </c>
      <c r="J21" s="2" t="s">
        <v>32</v>
      </c>
      <c r="K21" s="2" t="s">
        <v>45</v>
      </c>
      <c r="L21" s="2">
        <v>3300</v>
      </c>
      <c r="M21" s="2" t="s">
        <v>40</v>
      </c>
    </row>
    <row r="22" spans="1:13" ht="12.5" x14ac:dyDescent="0.25">
      <c r="A22" s="26"/>
      <c r="B22" s="26" t="s">
        <v>63</v>
      </c>
      <c r="C22" s="27" t="s">
        <v>57</v>
      </c>
      <c r="F22" s="18"/>
      <c r="G22" s="18"/>
      <c r="I22" s="2">
        <v>5</v>
      </c>
      <c r="J22" s="5" t="s">
        <v>35</v>
      </c>
      <c r="K22" s="13" t="s">
        <v>56</v>
      </c>
      <c r="L22" s="3">
        <v>4200</v>
      </c>
      <c r="M22" s="3"/>
    </row>
    <row r="23" spans="1:13" ht="15.5" x14ac:dyDescent="0.25">
      <c r="A23" s="26"/>
      <c r="B23" s="26" t="s">
        <v>63</v>
      </c>
      <c r="C23" s="27" t="s">
        <v>58</v>
      </c>
      <c r="E23" s="17"/>
      <c r="F23" s="18"/>
      <c r="G23" s="18"/>
      <c r="I23" s="2">
        <v>6</v>
      </c>
      <c r="J23" s="5" t="s">
        <v>47</v>
      </c>
      <c r="K23" s="12" t="s">
        <v>55</v>
      </c>
      <c r="L23" s="3">
        <v>4800</v>
      </c>
      <c r="M23" s="3"/>
    </row>
    <row r="24" spans="1:13" ht="15.5" x14ac:dyDescent="0.25">
      <c r="A24" s="26" t="s">
        <v>117</v>
      </c>
      <c r="B24" s="26" t="s">
        <v>63</v>
      </c>
      <c r="C24" s="27" t="s">
        <v>62</v>
      </c>
      <c r="E24" s="17"/>
      <c r="F24" s="18"/>
      <c r="G24" s="18"/>
      <c r="I24" s="2">
        <v>7</v>
      </c>
      <c r="J24" s="5" t="s">
        <v>48</v>
      </c>
      <c r="K24" s="12" t="s">
        <v>55</v>
      </c>
      <c r="L24" s="3">
        <v>4800</v>
      </c>
      <c r="M24" s="3"/>
    </row>
    <row r="25" spans="1:13" ht="15.5" x14ac:dyDescent="0.3">
      <c r="A25" s="26"/>
      <c r="B25" s="26" t="s">
        <v>63</v>
      </c>
      <c r="C25" s="27" t="s">
        <v>59</v>
      </c>
      <c r="E25" s="17"/>
      <c r="F25" s="18"/>
      <c r="G25" s="18"/>
      <c r="I25" s="2">
        <v>8</v>
      </c>
      <c r="J25" s="5" t="s">
        <v>51</v>
      </c>
      <c r="K25" s="3" t="s">
        <v>81</v>
      </c>
      <c r="L25" s="29">
        <v>6000</v>
      </c>
      <c r="M25" s="3"/>
    </row>
    <row r="26" spans="1:13" ht="14" thickBot="1" x14ac:dyDescent="0.3">
      <c r="A26" s="26" t="s">
        <v>118</v>
      </c>
      <c r="B26" s="26" t="s">
        <v>63</v>
      </c>
      <c r="C26" s="27" t="s">
        <v>60</v>
      </c>
      <c r="E26" s="20"/>
      <c r="F26" s="18"/>
      <c r="G26" s="18"/>
      <c r="I26" s="3"/>
      <c r="J26" s="3"/>
      <c r="K26" s="3"/>
      <c r="L26" s="3">
        <f>SUM(L18:L25)</f>
        <v>28500</v>
      </c>
      <c r="M26" s="3"/>
    </row>
    <row r="27" spans="1:13" ht="14" thickBot="1" x14ac:dyDescent="0.3">
      <c r="A27" s="26" t="s">
        <v>116</v>
      </c>
      <c r="B27" s="26" t="s">
        <v>63</v>
      </c>
      <c r="C27" s="27" t="s">
        <v>61</v>
      </c>
      <c r="E27" s="21"/>
      <c r="F27" s="22"/>
      <c r="I27" s="3"/>
      <c r="J27" s="2"/>
      <c r="K27" s="3"/>
      <c r="L27" s="3"/>
      <c r="M27" s="3"/>
    </row>
    <row r="28" spans="1:13" ht="12.5" x14ac:dyDescent="0.25">
      <c r="A28" s="26" t="s">
        <v>67</v>
      </c>
      <c r="B28" s="26" t="s">
        <v>63</v>
      </c>
      <c r="C28" s="27" t="s">
        <v>64</v>
      </c>
      <c r="E28" s="23"/>
      <c r="F28" s="24"/>
      <c r="I28" s="3"/>
      <c r="J28" s="3"/>
      <c r="K28" s="3"/>
      <c r="L28" s="3"/>
      <c r="M28" s="3"/>
    </row>
    <row r="29" spans="1:13" ht="12.5" x14ac:dyDescent="0.25">
      <c r="A29" s="26" t="s">
        <v>68</v>
      </c>
      <c r="B29" s="26" t="s">
        <v>63</v>
      </c>
      <c r="C29" s="27" t="s">
        <v>71</v>
      </c>
      <c r="I29" s="3"/>
      <c r="J29" s="3"/>
      <c r="K29" s="3"/>
      <c r="L29" s="3"/>
      <c r="M29" s="3"/>
    </row>
    <row r="30" spans="1:13" ht="15.5" x14ac:dyDescent="0.25">
      <c r="A30" s="26" t="s">
        <v>69</v>
      </c>
      <c r="B30" s="26" t="s">
        <v>63</v>
      </c>
      <c r="C30" s="27" t="s">
        <v>65</v>
      </c>
      <c r="E30" s="17"/>
      <c r="F30" s="17"/>
      <c r="G30" s="19"/>
      <c r="I30" s="3"/>
      <c r="J30" s="3"/>
      <c r="K30" s="3"/>
      <c r="L30" s="3"/>
      <c r="M30" s="3"/>
    </row>
    <row r="31" spans="1:13" ht="15.75" customHeight="1" x14ac:dyDescent="0.25">
      <c r="A31" s="26" t="s">
        <v>70</v>
      </c>
      <c r="B31" s="26" t="s">
        <v>63</v>
      </c>
      <c r="C31" s="27" t="s">
        <v>66</v>
      </c>
      <c r="E31" s="17"/>
      <c r="F31" s="17"/>
      <c r="G31" s="17"/>
    </row>
    <row r="32" spans="1:13" ht="15.75" customHeight="1" x14ac:dyDescent="0.25">
      <c r="A32" s="28" t="s">
        <v>80</v>
      </c>
      <c r="B32" s="26" t="s">
        <v>63</v>
      </c>
      <c r="C32" s="27" t="s">
        <v>75</v>
      </c>
      <c r="E32" s="17"/>
      <c r="F32" s="17"/>
      <c r="G32" s="17"/>
    </row>
    <row r="33" spans="1:7" ht="15.75" customHeight="1" x14ac:dyDescent="0.25">
      <c r="A33" s="28" t="s">
        <v>41</v>
      </c>
      <c r="B33" s="26" t="s">
        <v>63</v>
      </c>
      <c r="C33" s="27" t="s">
        <v>76</v>
      </c>
      <c r="E33" s="18"/>
      <c r="F33" s="18"/>
      <c r="G33" s="18"/>
    </row>
    <row r="34" spans="1:7" ht="15.75" customHeight="1" x14ac:dyDescent="0.25">
      <c r="A34" s="28" t="s">
        <v>72</v>
      </c>
      <c r="B34" s="26" t="s">
        <v>63</v>
      </c>
      <c r="C34" s="27" t="s">
        <v>77</v>
      </c>
    </row>
    <row r="35" spans="1:7" ht="15.75" customHeight="1" x14ac:dyDescent="0.25">
      <c r="A35" s="28" t="s">
        <v>73</v>
      </c>
      <c r="B35" s="26" t="s">
        <v>63</v>
      </c>
      <c r="C35" s="27" t="s">
        <v>78</v>
      </c>
    </row>
    <row r="36" spans="1:7" ht="15.75" customHeight="1" x14ac:dyDescent="0.25">
      <c r="A36" s="28" t="s">
        <v>74</v>
      </c>
      <c r="B36" s="26" t="s">
        <v>63</v>
      </c>
      <c r="C36" s="27" t="s">
        <v>79</v>
      </c>
    </row>
    <row r="37" spans="1:7" ht="15.75" customHeight="1" x14ac:dyDescent="0.25">
      <c r="A37" s="26"/>
      <c r="B37" s="26" t="s">
        <v>63</v>
      </c>
      <c r="C37" s="27"/>
    </row>
    <row r="38" spans="1:7" ht="15.75" customHeight="1" x14ac:dyDescent="0.25">
      <c r="C38" s="16"/>
    </row>
    <row r="39" spans="1:7" ht="15.75" customHeight="1" x14ac:dyDescent="0.25">
      <c r="C39" s="16"/>
    </row>
    <row r="40" spans="1:7" ht="15.75" customHeight="1" x14ac:dyDescent="0.25">
      <c r="C40" s="16"/>
    </row>
    <row r="41" spans="1:7" ht="15.75" customHeight="1" x14ac:dyDescent="0.25">
      <c r="C41" s="16"/>
    </row>
    <row r="42" spans="1:7" ht="15.75" customHeight="1" x14ac:dyDescent="0.25">
      <c r="C42" s="16"/>
    </row>
    <row r="43" spans="1:7" ht="15.75" customHeight="1" x14ac:dyDescent="0.25">
      <c r="C43" s="16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610D-E260-4CE5-B0C6-6AE481912F5A}">
  <dimension ref="A1:E11"/>
  <sheetViews>
    <sheetView workbookViewId="0">
      <selection sqref="A1:C11"/>
    </sheetView>
  </sheetViews>
  <sheetFormatPr defaultRowHeight="12.5" x14ac:dyDescent="0.25"/>
  <cols>
    <col min="1" max="1" width="15.453125" bestFit="1" customWidth="1"/>
    <col min="2" max="2" width="19.1796875" customWidth="1"/>
    <col min="3" max="3" width="15.81640625" customWidth="1"/>
    <col min="4" max="4" width="10.81640625" customWidth="1"/>
    <col min="5" max="5" width="12.1796875" customWidth="1"/>
  </cols>
  <sheetData>
    <row r="1" spans="1:5" x14ac:dyDescent="0.25">
      <c r="A1" t="s">
        <v>82</v>
      </c>
      <c r="B1" t="s">
        <v>83</v>
      </c>
      <c r="C1" t="s">
        <v>84</v>
      </c>
      <c r="D1" t="s">
        <v>9</v>
      </c>
      <c r="E1" t="s">
        <v>92</v>
      </c>
    </row>
    <row r="2" spans="1:5" x14ac:dyDescent="0.25">
      <c r="A2" t="s">
        <v>93</v>
      </c>
      <c r="B2" s="7">
        <v>29344</v>
      </c>
      <c r="C2">
        <v>0</v>
      </c>
    </row>
    <row r="3" spans="1:5" x14ac:dyDescent="0.25">
      <c r="A3" t="s">
        <v>85</v>
      </c>
      <c r="B3" s="7">
        <v>33599</v>
      </c>
      <c r="C3" s="2">
        <v>1800</v>
      </c>
    </row>
    <row r="4" spans="1:5" x14ac:dyDescent="0.25">
      <c r="A4" t="s">
        <v>86</v>
      </c>
      <c r="B4" s="7">
        <v>37332</v>
      </c>
      <c r="C4" s="2">
        <v>1800</v>
      </c>
    </row>
    <row r="5" spans="1:5" x14ac:dyDescent="0.25">
      <c r="A5" t="s">
        <v>87</v>
      </c>
      <c r="B5" s="7">
        <v>45980</v>
      </c>
      <c r="C5" s="2">
        <v>1800</v>
      </c>
    </row>
    <row r="6" spans="1:5" x14ac:dyDescent="0.25">
      <c r="A6" t="s">
        <v>88</v>
      </c>
      <c r="B6" s="7">
        <v>48923</v>
      </c>
      <c r="C6" s="2">
        <v>3300</v>
      </c>
    </row>
    <row r="7" spans="1:5" x14ac:dyDescent="0.25">
      <c r="A7" t="s">
        <v>89</v>
      </c>
      <c r="B7" s="8">
        <v>33599</v>
      </c>
      <c r="C7" s="3">
        <v>4200</v>
      </c>
    </row>
    <row r="8" spans="1:5" x14ac:dyDescent="0.25">
      <c r="A8" t="s">
        <v>90</v>
      </c>
      <c r="B8" s="8">
        <v>46881</v>
      </c>
      <c r="C8" s="3">
        <v>4800</v>
      </c>
    </row>
    <row r="9" spans="1:5" x14ac:dyDescent="0.25">
      <c r="A9" t="s">
        <v>91</v>
      </c>
      <c r="B9" s="8">
        <v>43678</v>
      </c>
      <c r="C9" s="3">
        <v>4800</v>
      </c>
    </row>
    <row r="10" spans="1:5" ht="13" x14ac:dyDescent="0.3">
      <c r="B10" s="30">
        <f>SUM(B2:B9)</f>
        <v>319336</v>
      </c>
      <c r="C10" s="31">
        <v>6000</v>
      </c>
    </row>
    <row r="11" spans="1:5" ht="13" x14ac:dyDescent="0.3">
      <c r="C11" s="30">
        <f>SUM(C3:C10)</f>
        <v>28500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09E9-9C1E-4FC7-AE41-822C24388E8A}">
  <dimension ref="A1:J25"/>
  <sheetViews>
    <sheetView tabSelected="1" workbookViewId="0">
      <selection activeCell="F15" sqref="F15"/>
    </sheetView>
  </sheetViews>
  <sheetFormatPr defaultRowHeight="12.5" x14ac:dyDescent="0.25"/>
  <cols>
    <col min="2" max="2" width="20.90625" style="39" customWidth="1"/>
    <col min="3" max="3" width="14.81640625" style="39" customWidth="1"/>
    <col min="4" max="4" width="18.90625" style="39" customWidth="1"/>
    <col min="7" max="7" width="16.26953125" customWidth="1"/>
    <col min="8" max="8" width="22.54296875" customWidth="1"/>
    <col min="9" max="9" width="10.36328125" customWidth="1"/>
  </cols>
  <sheetData>
    <row r="1" spans="1:10" s="30" customFormat="1" ht="13" x14ac:dyDescent="0.3">
      <c r="A1" s="32" t="s">
        <v>94</v>
      </c>
      <c r="B1" s="36" t="s">
        <v>6</v>
      </c>
      <c r="C1" s="36" t="s">
        <v>4</v>
      </c>
      <c r="D1" s="36" t="s">
        <v>100</v>
      </c>
      <c r="F1" s="36" t="s">
        <v>82</v>
      </c>
      <c r="G1" s="36" t="s">
        <v>83</v>
      </c>
      <c r="H1" s="36" t="s">
        <v>84</v>
      </c>
      <c r="I1" s="32" t="s">
        <v>107</v>
      </c>
      <c r="J1" s="32" t="s">
        <v>115</v>
      </c>
    </row>
    <row r="2" spans="1:10" x14ac:dyDescent="0.25">
      <c r="A2" s="9">
        <v>1</v>
      </c>
      <c r="B2" s="37" t="s">
        <v>97</v>
      </c>
      <c r="C2" s="40">
        <v>29344</v>
      </c>
      <c r="D2" s="37" t="s">
        <v>95</v>
      </c>
      <c r="F2" s="38" t="s">
        <v>93</v>
      </c>
      <c r="G2" s="43">
        <v>29344</v>
      </c>
      <c r="H2" s="38">
        <v>0</v>
      </c>
      <c r="I2" s="9"/>
      <c r="J2" s="9"/>
    </row>
    <row r="3" spans="1:10" x14ac:dyDescent="0.25">
      <c r="A3" s="9">
        <v>2</v>
      </c>
      <c r="B3" s="37" t="s">
        <v>96</v>
      </c>
      <c r="C3" s="40">
        <v>43238</v>
      </c>
      <c r="D3" s="37" t="s">
        <v>95</v>
      </c>
      <c r="F3" s="38" t="s">
        <v>85</v>
      </c>
      <c r="G3" s="43">
        <v>33599</v>
      </c>
      <c r="H3" s="43">
        <v>1800</v>
      </c>
      <c r="I3" s="9"/>
      <c r="J3" s="9"/>
    </row>
    <row r="4" spans="1:10" x14ac:dyDescent="0.25">
      <c r="A4" s="9">
        <v>3</v>
      </c>
      <c r="B4" s="37" t="s">
        <v>98</v>
      </c>
      <c r="C4" s="40">
        <v>20000</v>
      </c>
      <c r="D4" s="37" t="s">
        <v>95</v>
      </c>
      <c r="F4" s="38" t="s">
        <v>86</v>
      </c>
      <c r="G4" s="43">
        <v>37332</v>
      </c>
      <c r="H4" s="43">
        <v>1800</v>
      </c>
      <c r="I4" s="9"/>
      <c r="J4" s="9"/>
    </row>
    <row r="5" spans="1:10" x14ac:dyDescent="0.25">
      <c r="A5" s="9">
        <v>4</v>
      </c>
      <c r="B5" s="37" t="s">
        <v>101</v>
      </c>
      <c r="C5" s="40">
        <v>29149</v>
      </c>
      <c r="D5" s="37" t="s">
        <v>95</v>
      </c>
      <c r="F5" s="38" t="s">
        <v>87</v>
      </c>
      <c r="G5" s="43">
        <v>45980</v>
      </c>
      <c r="H5" s="43">
        <v>1800</v>
      </c>
      <c r="I5" s="9"/>
      <c r="J5" s="9"/>
    </row>
    <row r="6" spans="1:10" x14ac:dyDescent="0.25">
      <c r="A6" s="9">
        <v>5</v>
      </c>
      <c r="B6" s="37" t="s">
        <v>102</v>
      </c>
      <c r="C6" s="40">
        <v>30000</v>
      </c>
      <c r="D6" s="37" t="s">
        <v>95</v>
      </c>
      <c r="F6" s="38" t="s">
        <v>88</v>
      </c>
      <c r="G6" s="43">
        <v>48923</v>
      </c>
      <c r="H6" s="43">
        <v>3300</v>
      </c>
      <c r="I6" s="9"/>
      <c r="J6" s="9"/>
    </row>
    <row r="7" spans="1:10" x14ac:dyDescent="0.25">
      <c r="A7" s="9">
        <v>6</v>
      </c>
      <c r="B7" s="37" t="s">
        <v>103</v>
      </c>
      <c r="C7" s="40">
        <v>50000</v>
      </c>
      <c r="D7" s="37" t="s">
        <v>95</v>
      </c>
      <c r="F7" s="38" t="s">
        <v>89</v>
      </c>
      <c r="G7" s="43">
        <v>33599</v>
      </c>
      <c r="H7" s="43">
        <v>4200</v>
      </c>
      <c r="I7" s="9"/>
      <c r="J7" s="9"/>
    </row>
    <row r="8" spans="1:10" x14ac:dyDescent="0.25">
      <c r="A8" s="9">
        <v>7</v>
      </c>
      <c r="B8" s="37" t="s">
        <v>104</v>
      </c>
      <c r="C8" s="40">
        <v>75219</v>
      </c>
      <c r="D8" s="37" t="s">
        <v>95</v>
      </c>
      <c r="F8" s="38" t="s">
        <v>90</v>
      </c>
      <c r="G8" s="43">
        <v>46881</v>
      </c>
      <c r="H8" s="43">
        <v>4800</v>
      </c>
      <c r="I8" s="9"/>
      <c r="J8" s="9"/>
    </row>
    <row r="9" spans="1:10" ht="15.5" x14ac:dyDescent="0.35">
      <c r="A9" s="9"/>
      <c r="B9" s="42" t="s">
        <v>54</v>
      </c>
      <c r="C9" s="41">
        <f>SUM(C2:C8)</f>
        <v>276950</v>
      </c>
      <c r="D9" s="38"/>
      <c r="F9" s="38" t="s">
        <v>91</v>
      </c>
      <c r="G9" s="43">
        <v>43678</v>
      </c>
      <c r="H9" s="43">
        <v>4800</v>
      </c>
      <c r="I9" s="9"/>
      <c r="J9" s="9"/>
    </row>
    <row r="10" spans="1:10" x14ac:dyDescent="0.25">
      <c r="A10" s="46"/>
      <c r="D10" s="47"/>
      <c r="F10" s="37" t="s">
        <v>106</v>
      </c>
      <c r="G10" s="9"/>
      <c r="H10" s="44">
        <v>6000</v>
      </c>
      <c r="I10" s="9"/>
      <c r="J10" s="9"/>
    </row>
    <row r="11" spans="1:10" ht="13" x14ac:dyDescent="0.3">
      <c r="A11" s="48"/>
      <c r="F11" s="36" t="s">
        <v>54</v>
      </c>
      <c r="G11" s="36">
        <f>SUM(G2:G9)</f>
        <v>319336</v>
      </c>
      <c r="H11" s="36">
        <f>SUM(H3:H10)</f>
        <v>28500</v>
      </c>
      <c r="I11" s="45">
        <v>276950</v>
      </c>
      <c r="J11" s="51">
        <v>70886</v>
      </c>
    </row>
    <row r="12" spans="1:10" ht="13" x14ac:dyDescent="0.3">
      <c r="A12" s="48"/>
      <c r="B12" s="32" t="s">
        <v>113</v>
      </c>
      <c r="C12" s="35">
        <v>319336</v>
      </c>
      <c r="D12" s="33" t="s">
        <v>111</v>
      </c>
      <c r="F12" s="38"/>
      <c r="G12" s="38"/>
      <c r="H12" s="38"/>
      <c r="I12" s="9"/>
      <c r="J12" s="9"/>
    </row>
    <row r="13" spans="1:10" ht="13" x14ac:dyDescent="0.3">
      <c r="A13" s="48"/>
      <c r="B13" s="32" t="s">
        <v>114</v>
      </c>
      <c r="C13" s="35">
        <v>28500</v>
      </c>
      <c r="D13" s="33" t="s">
        <v>112</v>
      </c>
      <c r="F13" s="38"/>
      <c r="G13" s="38"/>
      <c r="H13" s="38"/>
      <c r="I13" s="9"/>
      <c r="J13" s="9"/>
    </row>
    <row r="14" spans="1:10" ht="13" x14ac:dyDescent="0.3">
      <c r="A14" s="48"/>
      <c r="B14" s="32" t="s">
        <v>108</v>
      </c>
      <c r="C14" s="34" t="s">
        <v>105</v>
      </c>
      <c r="D14" s="9"/>
      <c r="F14" s="38"/>
      <c r="G14" s="38"/>
      <c r="H14" s="38"/>
      <c r="I14" s="9"/>
      <c r="J14" s="9"/>
    </row>
    <row r="15" spans="1:10" ht="13" x14ac:dyDescent="0.3">
      <c r="A15" s="48"/>
      <c r="B15" s="32" t="s">
        <v>109</v>
      </c>
      <c r="C15" s="34" t="s">
        <v>99</v>
      </c>
      <c r="D15" s="9"/>
      <c r="F15" s="38"/>
      <c r="G15" s="38"/>
      <c r="H15" s="38"/>
      <c r="I15" s="9"/>
      <c r="J15" s="9"/>
    </row>
    <row r="16" spans="1:10" ht="13" x14ac:dyDescent="0.3">
      <c r="A16" s="48"/>
      <c r="B16" s="32"/>
      <c r="C16" s="35"/>
      <c r="D16" s="9"/>
      <c r="F16" s="38"/>
      <c r="G16" s="38"/>
      <c r="H16" s="38"/>
      <c r="I16" s="9"/>
      <c r="J16" s="9"/>
    </row>
    <row r="17" spans="1:10" ht="13" x14ac:dyDescent="0.3">
      <c r="A17" s="48"/>
      <c r="B17" s="32" t="s">
        <v>110</v>
      </c>
      <c r="C17" s="51">
        <v>70886</v>
      </c>
      <c r="D17" s="9"/>
      <c r="F17" s="38"/>
      <c r="G17" s="38"/>
      <c r="H17" s="38"/>
      <c r="I17" s="9"/>
      <c r="J17" s="9"/>
    </row>
    <row r="18" spans="1:10" x14ac:dyDescent="0.25">
      <c r="A18" s="48"/>
      <c r="B18" s="49"/>
      <c r="C18" s="50"/>
      <c r="D18" s="49"/>
      <c r="F18" s="38"/>
      <c r="G18" s="38"/>
      <c r="H18" s="38"/>
      <c r="I18" s="9"/>
      <c r="J18" s="9"/>
    </row>
    <row r="19" spans="1:10" x14ac:dyDescent="0.25">
      <c r="A19" s="48"/>
      <c r="B19" s="49"/>
      <c r="C19" s="49"/>
      <c r="D19" s="49"/>
      <c r="F19" s="38"/>
      <c r="G19" s="38"/>
      <c r="H19" s="38"/>
      <c r="I19" s="9"/>
      <c r="J19" s="9"/>
    </row>
    <row r="20" spans="1:10" x14ac:dyDescent="0.25">
      <c r="A20" s="48"/>
      <c r="B20" s="49"/>
      <c r="C20" s="49"/>
      <c r="D20" s="49"/>
      <c r="F20" s="38"/>
      <c r="G20" s="38"/>
      <c r="H20" s="38"/>
    </row>
    <row r="21" spans="1:10" x14ac:dyDescent="0.25">
      <c r="A21" s="48"/>
      <c r="B21" s="49"/>
      <c r="C21" s="49"/>
      <c r="D21" s="49"/>
      <c r="F21" s="38"/>
      <c r="G21" s="38"/>
      <c r="H21" s="38"/>
    </row>
    <row r="22" spans="1:10" x14ac:dyDescent="0.25">
      <c r="A22" s="48"/>
      <c r="B22" s="49"/>
      <c r="C22" s="49"/>
      <c r="D22" s="49"/>
      <c r="F22" s="38"/>
      <c r="G22" s="38"/>
      <c r="H22" s="38"/>
    </row>
    <row r="23" spans="1:10" x14ac:dyDescent="0.25">
      <c r="A23" s="48"/>
      <c r="B23" s="49"/>
      <c r="C23" s="49"/>
      <c r="D23" s="49"/>
      <c r="F23" s="38"/>
      <c r="G23" s="38"/>
      <c r="H23" s="38"/>
    </row>
    <row r="24" spans="1:10" x14ac:dyDescent="0.25">
      <c r="A24" s="48"/>
      <c r="B24" s="49"/>
      <c r="C24" s="49"/>
      <c r="D24" s="49"/>
      <c r="F24" s="38"/>
      <c r="G24" s="38"/>
      <c r="H24" s="38"/>
    </row>
    <row r="25" spans="1:10" x14ac:dyDescent="0.25">
      <c r="A25" s="48"/>
      <c r="B25" s="49"/>
      <c r="C25" s="49"/>
      <c r="D25" s="49"/>
      <c r="F25" s="38"/>
      <c r="G25" s="38"/>
      <c r="H25" s="3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Paid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</cp:lastModifiedBy>
  <dcterms:modified xsi:type="dcterms:W3CDTF">2025-09-29T11:29:34Z</dcterms:modified>
</cp:coreProperties>
</file>